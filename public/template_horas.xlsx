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c8423a507a15af/Documents/WENLEN/programas/sep/"/>
    </mc:Choice>
  </mc:AlternateContent>
  <xr:revisionPtr revIDLastSave="0" documentId="8_{88DCFF7E-685E-41AD-8ED1-1D77896E7163}" xr6:coauthVersionLast="47" xr6:coauthVersionMax="47" xr10:uidLastSave="{00000000-0000-0000-0000-000000000000}"/>
  <bookViews>
    <workbookView xWindow="-108" yWindow="-108" windowWidth="23256" windowHeight="12456" xr2:uid="{EF368B32-6F94-4EF3-9B96-90CA2C59C6D3}"/>
  </bookViews>
  <sheets>
    <sheet name="Sheet1" sheetId="1" r:id="rId1"/>
  </sheets>
  <externalReferences>
    <externalReference r:id="rId2"/>
    <externalReference r:id="rId3"/>
  </externalReferences>
  <definedNames>
    <definedName name="Lugar_de_Trabajo" localSheetId="0">'[2]1'!$S$2:$S$3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A13" i="1"/>
  <c r="G12" i="1"/>
  <c r="A12" i="1"/>
</calcChain>
</file>

<file path=xl/sharedStrings.xml><?xml version="1.0" encoding="utf-8"?>
<sst xmlns="http://schemas.openxmlformats.org/spreadsheetml/2006/main" count="138" uniqueCount="31">
  <si>
    <t>Base</t>
  </si>
  <si>
    <t>Campo</t>
  </si>
  <si>
    <r>
      <t xml:space="preserve">Empleado:         </t>
    </r>
    <r>
      <rPr>
        <sz val="10"/>
        <rFont val="Arial"/>
        <family val="2"/>
      </rPr>
      <t>_______________</t>
    </r>
  </si>
  <si>
    <t>Vazquez Nicolas</t>
  </si>
  <si>
    <t>Mes:</t>
  </si>
  <si>
    <t>enero-febrero</t>
  </si>
  <si>
    <t>Diagrama:    Lun a Vie</t>
  </si>
  <si>
    <t>Dia</t>
  </si>
  <si>
    <t>Entro</t>
  </si>
  <si>
    <t>Salio</t>
  </si>
  <si>
    <t>Hs Trabajadas</t>
  </si>
  <si>
    <t>Hs de Viaje</t>
  </si>
  <si>
    <t>Lugar de Trabajo</t>
  </si>
  <si>
    <t>Pernocte</t>
  </si>
  <si>
    <t>Maneja</t>
  </si>
  <si>
    <t>Observaciones</t>
  </si>
  <si>
    <t>SI / NO</t>
  </si>
  <si>
    <t xml:space="preserve">SI    </t>
  </si>
  <si>
    <t>NO</t>
  </si>
  <si>
    <t xml:space="preserve">Hotel </t>
  </si>
  <si>
    <t>Trailer</t>
  </si>
  <si>
    <t>base</t>
  </si>
  <si>
    <t>x</t>
  </si>
  <si>
    <t>PAD-C15</t>
  </si>
  <si>
    <t>BDC-PAD2A</t>
  </si>
  <si>
    <t>-</t>
  </si>
  <si>
    <t>franco</t>
  </si>
  <si>
    <t>BASE</t>
  </si>
  <si>
    <t>Firma del Trabajador</t>
  </si>
  <si>
    <t xml:space="preserve">                     </t>
  </si>
  <si>
    <t xml:space="preserve">     Firma del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</si>
</sst>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A]mmm\-yy"/>
    <numFmt numFmtId="165" formatCode="[$-40A]dd\-mmm"/>
  </numFmts>
  <fonts count="9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color theme="0"/>
      <name val="Calibri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1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164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 readingOrder="1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Protection="1">
      <protection locked="0"/>
    </xf>
    <xf numFmtId="0" fontId="7" fillId="0" borderId="6" xfId="0" applyFont="1" applyBorder="1" applyProtection="1"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7" fillId="0" borderId="7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 shrinkToFit="1"/>
      <protection locked="0"/>
    </xf>
    <xf numFmtId="0" fontId="6" fillId="2" borderId="2" xfId="0" applyFont="1" applyFill="1" applyBorder="1" applyAlignment="1" applyProtection="1">
      <alignment horizontal="center" vertical="top"/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/>
      <protection locked="0"/>
    </xf>
    <xf numFmtId="165" fontId="6" fillId="3" borderId="11" xfId="0" applyNumberFormat="1" applyFont="1" applyFill="1" applyBorder="1" applyAlignment="1" applyProtection="1">
      <alignment horizontal="center" vertical="center"/>
      <protection locked="0"/>
    </xf>
    <xf numFmtId="2" fontId="6" fillId="0" borderId="12" xfId="0" applyNumberFormat="1" applyFont="1" applyBorder="1" applyAlignment="1" applyProtection="1">
      <alignment horizontal="center" vertical="center"/>
      <protection locked="0"/>
    </xf>
    <xf numFmtId="2" fontId="6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49" fontId="6" fillId="0" borderId="14" xfId="0" applyNumberFormat="1" applyFont="1" applyBorder="1" applyAlignment="1" applyProtection="1">
      <alignment horizontal="center" vertical="center"/>
      <protection locked="0"/>
    </xf>
    <xf numFmtId="165" fontId="6" fillId="4" borderId="15" xfId="0" applyNumberFormat="1" applyFont="1" applyFill="1" applyBorder="1" applyAlignment="1" applyProtection="1">
      <alignment horizontal="center" vertical="center"/>
      <protection locked="0"/>
    </xf>
    <xf numFmtId="2" fontId="6" fillId="0" borderId="16" xfId="0" applyNumberFormat="1" applyFont="1" applyBorder="1" applyAlignment="1" applyProtection="1">
      <alignment horizontal="center" vertical="center"/>
      <protection locked="0"/>
    </xf>
    <xf numFmtId="2" fontId="6" fillId="0" borderId="16" xfId="0" applyNumberFormat="1" applyFont="1" applyBorder="1" applyAlignment="1" applyProtection="1">
      <alignment horizontal="center"/>
      <protection locked="0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49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65" fontId="6" fillId="4" borderId="20" xfId="0" applyNumberFormat="1" applyFont="1" applyFill="1" applyBorder="1" applyAlignment="1" applyProtection="1">
      <alignment horizontal="center" vertical="center"/>
      <protection locked="0"/>
    </xf>
    <xf numFmtId="2" fontId="6" fillId="0" borderId="21" xfId="0" applyNumberFormat="1" applyFont="1" applyBorder="1" applyAlignment="1" applyProtection="1">
      <alignment horizontal="center" vertical="center"/>
      <protection locked="0"/>
    </xf>
    <xf numFmtId="2" fontId="6" fillId="0" borderId="21" xfId="0" applyNumberFormat="1" applyFont="1" applyBorder="1" applyAlignment="1" applyProtection="1">
      <alignment horizontal="center"/>
      <protection locked="0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165" fontId="6" fillId="4" borderId="0" xfId="0" applyNumberFormat="1" applyFont="1" applyFill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20" fontId="6" fillId="0" borderId="0" xfId="0" applyNumberFormat="1" applyFont="1" applyAlignment="1" applyProtection="1">
      <alignment horizontal="center"/>
      <protection locked="0"/>
    </xf>
    <xf numFmtId="46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199862</xdr:colOff>
      <xdr:row>0</xdr:row>
      <xdr:rowOff>50601</xdr:rowOff>
    </xdr:from>
    <xdr:to>
      <xdr:col>5</xdr:col>
      <xdr:colOff>328644</xdr:colOff>
      <xdr:row>3</xdr:row>
      <xdr:rowOff>84817</xdr:rowOff>
    </xdr:to>
    <xdr:pic>
      <xdr:nvPicPr>
        <xdr:cNvPr id="2" name="image1.png" descr=" ">
          <a:extLst>
            <a:ext uri="{FF2B5EF4-FFF2-40B4-BE49-F238E27FC236}">
              <a16:creationId xmlns:a16="http://schemas.microsoft.com/office/drawing/2014/main" id="{8254E1E5-5003-4BFE-A0A0-BC8CE225C8E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9862" y="50601"/>
          <a:ext cx="2125222" cy="59047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mondaca\Desktop\Planilla%20de%20horas%20Mayo\WELL%20TESTING%2005-2025%2001.xlsx" TargetMode="External"/><Relationship Id="rId1" Type="http://schemas.openxmlformats.org/officeDocument/2006/relationships/externalLinkPath" Target="file:///C:\Users\dmondaca\Desktop\Planilla%20de%20horas%20Mayo\WELL%20TESTING%2005-2025%200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lanillas%20de%20horas/Planilla%20de%20horas%20Vazquez%20Nicolas%2001%20a%2002%202026.xlsx" TargetMode="External"/><Relationship Id="rId2" Type="http://schemas.openxmlformats.org/officeDocument/2006/relationships/externalLinkPath" Target="https://d.docs.live.net/95c8423a507a15af/Documents/WENLEN/Planillas%20de%20horas/Planilla%20de%20horas%20Vazquez%20Nicolas%2001%20a%2002%202026.xlsx" TargetMode="External"/><Relationship Id="rId1" Type="http://schemas.openxmlformats.org/officeDocument/2006/relationships/externalLinkPath" Target="/95c8423a507a15af/Documents/WENLEN/Planillas%20de%20horas/Planilla%20de%20horas%20Vazquez%20Nicolas%2001%20a%2002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MEIRA LUIS"/>
      <sheetName val="ARRIAGADA FERNANDO ARIEL"/>
      <sheetName val="ARISMENDI ALBERTO"/>
      <sheetName val="AVALOS CRISTIAN"/>
      <sheetName val="BADILLA PATRICIO"/>
      <sheetName val="BAEZ CRISTIAN"/>
      <sheetName val="BARRERA MARCELO"/>
      <sheetName val="BENITEZ ARNALDO"/>
      <sheetName val="BERRA FERNANDO"/>
      <sheetName val="BUCOLO PABLO"/>
      <sheetName val="CATTANEO AGUSTIN"/>
      <sheetName val="CEPEDA EMANUEL"/>
      <sheetName val="CONTRERAS MAURO"/>
      <sheetName val="CORACHAN JUAN"/>
      <sheetName val="CUITIÑO LEONARDO"/>
      <sheetName val="CURIHUINCA MIGUEL"/>
      <sheetName val="ELIAS RODRIGO"/>
      <sheetName val="FERNANDEZ EMANUEL"/>
      <sheetName val="FIGUEROA JORGE"/>
      <sheetName val="FUENTEALBA LAUTARO"/>
      <sheetName val="FUENTES MAXIMILIANO"/>
      <sheetName val="GARRIDO RUBEN"/>
      <sheetName val="GIUSTI GIULIANO"/>
      <sheetName val="GUINDER MARTIN"/>
      <sheetName val="HAZELDINE JAVIER"/>
      <sheetName val="IBAÑEZ VERONICA"/>
      <sheetName val="JOFRE KRAUSE JUAN "/>
      <sheetName val="KASTLI EMANUEL"/>
      <sheetName val="LIEMPE LUCAS"/>
      <sheetName val="LIZAMA DIEGO"/>
      <sheetName val="LOPEZ VILLENA RODRIGO"/>
      <sheetName val="MANSUR NASHIF"/>
      <sheetName val="MONDACA DIEGO"/>
      <sheetName val="MORALES DIEGO"/>
      <sheetName val="MORALES EZEQUIAS"/>
      <sheetName val="MORENO JUAN MANUEL"/>
      <sheetName val="MORENO VICENTE VICTOR"/>
      <sheetName val="MUÑOZ ALAN"/>
      <sheetName val="NAVARRO MARVIN"/>
      <sheetName val="PALMA DANIEL"/>
      <sheetName val="PALOMAR VALENTIN"/>
      <sheetName val="PAEZ FACUNDO"/>
      <sheetName val="PROVOSTE MATIAS"/>
      <sheetName val="REYES RODRIGO"/>
      <sheetName val="RIQUELME VITO"/>
      <sheetName val="SALATINO LUCAS"/>
      <sheetName val="SAN MARTIN FELIX"/>
      <sheetName val="TEJERINA HECTOR"/>
      <sheetName val="VAZQUEZ NICOLAS"/>
      <sheetName val="ZARAGOZA NICOLAS"/>
      <sheetName val="ZWENGER GERMAN"/>
      <sheetName val="1"/>
      <sheetName val="05-2025"/>
    </sheetNames>
    <sheetDataSet>
      <sheetData sheetId="0" refreshError="1">
        <row r="22">
          <cell r="A22" t="str">
            <v>x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"/>
    </sheetNames>
    <sheetDataSet>
      <sheetData sheetId="0">
        <row r="2">
          <cell r="S2" t="str">
            <v>Base</v>
          </cell>
        </row>
        <row r="3">
          <cell r="S3" t="str">
            <v>Campo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84F7-52B3-44E4-84A0-E02BCF8F6F40}">
  <dimension ref="A2:S58"/>
  <sheetViews>
    <sheetView tabSelected="1" workbookViewId="0">
      <selection activeCell="C5" sqref="C5:F5"/>
    </sheetView>
  </sheetViews>
  <sheetFormatPr defaultColWidth="12" defaultRowHeight="15" customHeight="1" x14ac:dyDescent="0.3"/>
  <cols>
    <col min="1" max="1" width="3.109375" style="1" customWidth="1"/>
    <col min="2" max="2" width="9.33203125" style="1" customWidth="1"/>
    <col min="3" max="6" width="8.6640625" style="1" customWidth="1"/>
    <col min="7" max="7" width="12.88671875" style="1" customWidth="1"/>
    <col min="8" max="8" width="10.5546875" style="1" customWidth="1"/>
    <col min="9" max="9" width="17" style="1" customWidth="1"/>
    <col min="10" max="10" width="5.88671875" style="1" customWidth="1"/>
    <col min="11" max="11" width="6.6640625" style="1" customWidth="1"/>
    <col min="12" max="12" width="4.88671875" style="1" customWidth="1"/>
    <col min="13" max="13" width="6.6640625" style="1" customWidth="1"/>
    <col min="14" max="14" width="29.88671875" style="1" customWidth="1"/>
    <col min="15" max="16384" width="12" style="1"/>
  </cols>
  <sheetData>
    <row r="2" spans="1:19" ht="15" customHeight="1" x14ac:dyDescent="0.3">
      <c r="B2" s="2"/>
      <c r="S2" s="3" t="s">
        <v>0</v>
      </c>
    </row>
    <row r="3" spans="1:19" ht="15" customHeight="1" x14ac:dyDescent="0.25">
      <c r="B3" s="4"/>
      <c r="S3" s="3" t="s">
        <v>1</v>
      </c>
    </row>
    <row r="4" spans="1:19" ht="15" customHeight="1" x14ac:dyDescent="0.25">
      <c r="B4" s="5"/>
    </row>
    <row r="5" spans="1:19" ht="15" customHeight="1" x14ac:dyDescent="0.25">
      <c r="B5" s="6" t="s">
        <v>2</v>
      </c>
      <c r="C5" s="7" t="s">
        <v>3</v>
      </c>
      <c r="D5" s="7"/>
      <c r="E5" s="7"/>
      <c r="F5" s="7"/>
      <c r="I5" s="8"/>
      <c r="J5" s="8"/>
      <c r="K5" s="8"/>
      <c r="L5" s="8"/>
      <c r="M5" s="8"/>
    </row>
    <row r="7" spans="1:19" ht="15" customHeight="1" x14ac:dyDescent="0.3">
      <c r="B7" s="9" t="s">
        <v>4</v>
      </c>
      <c r="C7" s="10" t="s">
        <v>5</v>
      </c>
      <c r="D7" s="11"/>
      <c r="E7" s="12"/>
      <c r="F7" s="13"/>
      <c r="G7" s="13"/>
      <c r="H7" s="13"/>
      <c r="I7" s="8" t="s">
        <v>6</v>
      </c>
      <c r="J7" s="8"/>
      <c r="K7" s="8"/>
      <c r="L7" s="8"/>
      <c r="M7" s="8"/>
    </row>
    <row r="8" spans="1:19" ht="15" customHeight="1" thickBot="1" x14ac:dyDescent="0.35"/>
    <row r="9" spans="1:19" ht="15" customHeight="1" thickBot="1" x14ac:dyDescent="0.35">
      <c r="A9" s="14"/>
      <c r="B9" s="15" t="s">
        <v>7</v>
      </c>
      <c r="C9" s="16" t="s">
        <v>8</v>
      </c>
      <c r="D9" s="16" t="s">
        <v>9</v>
      </c>
      <c r="E9" s="16" t="s">
        <v>8</v>
      </c>
      <c r="F9" s="17" t="s">
        <v>9</v>
      </c>
      <c r="G9" s="18" t="s">
        <v>10</v>
      </c>
      <c r="H9" s="19" t="s">
        <v>11</v>
      </c>
      <c r="I9" s="16" t="s">
        <v>12</v>
      </c>
      <c r="J9" s="20" t="s">
        <v>13</v>
      </c>
      <c r="K9" s="21"/>
      <c r="L9" s="22"/>
      <c r="M9" s="23" t="s">
        <v>14</v>
      </c>
      <c r="N9" s="16" t="s">
        <v>15</v>
      </c>
    </row>
    <row r="10" spans="1:19" ht="15" customHeight="1" thickBot="1" x14ac:dyDescent="0.35">
      <c r="A10" s="14"/>
      <c r="B10" s="24"/>
      <c r="C10" s="24"/>
      <c r="D10" s="24"/>
      <c r="E10" s="24"/>
      <c r="F10" s="25"/>
      <c r="G10" s="24"/>
      <c r="H10" s="26" t="s">
        <v>16</v>
      </c>
      <c r="I10" s="24"/>
      <c r="J10" s="27" t="s">
        <v>17</v>
      </c>
      <c r="K10" s="22"/>
      <c r="L10" s="28" t="s">
        <v>18</v>
      </c>
      <c r="M10" s="29"/>
      <c r="N10" s="24"/>
    </row>
    <row r="11" spans="1:19" ht="15" customHeight="1" thickBot="1" x14ac:dyDescent="0.35">
      <c r="A11" s="14"/>
      <c r="B11" s="24"/>
      <c r="C11" s="24"/>
      <c r="D11" s="24"/>
      <c r="E11" s="24"/>
      <c r="F11" s="25"/>
      <c r="G11" s="24"/>
      <c r="H11" s="30"/>
      <c r="I11" s="24"/>
      <c r="J11" s="31" t="s">
        <v>19</v>
      </c>
      <c r="K11" s="32" t="s">
        <v>20</v>
      </c>
      <c r="L11" s="24"/>
      <c r="M11" s="33"/>
      <c r="N11" s="24"/>
    </row>
    <row r="12" spans="1:19" ht="19.5" customHeight="1" x14ac:dyDescent="0.25">
      <c r="A12" s="3" t="e">
        <f>'[1]ALMEIRA LUIS'!A12</f>
        <v>#REF!</v>
      </c>
      <c r="B12" s="34">
        <v>46043</v>
      </c>
      <c r="C12" s="35">
        <v>8</v>
      </c>
      <c r="D12" s="36"/>
      <c r="E12" s="36"/>
      <c r="F12" s="35">
        <v>17</v>
      </c>
      <c r="G12" s="37">
        <f>IFERROR(IF(IF(I12="Base",(D12-C12)+(F12-E12)-1,(D12-C12)+(F12-E12))&gt;16,16,IF(I12="Base",(D12-C12)+(F12-E12)-1,(D12-C12)+(F12-E12))),0)</f>
        <v>8</v>
      </c>
      <c r="H12" s="38"/>
      <c r="I12" s="38" t="s">
        <v>21</v>
      </c>
      <c r="J12" s="38"/>
      <c r="K12" s="38"/>
      <c r="L12" s="38" t="s">
        <v>22</v>
      </c>
      <c r="M12" s="39"/>
      <c r="N12" s="40" t="s">
        <v>21</v>
      </c>
    </row>
    <row r="13" spans="1:19" ht="19.5" customHeight="1" x14ac:dyDescent="0.25">
      <c r="A13" s="3" t="e">
        <f>'[1]ALMEIRA LUIS'!A13</f>
        <v>#REF!</v>
      </c>
      <c r="B13" s="41">
        <f>+B12+1</f>
        <v>46044</v>
      </c>
      <c r="C13" s="42">
        <v>8</v>
      </c>
      <c r="D13" s="43"/>
      <c r="E13" s="43"/>
      <c r="F13" s="42">
        <v>17</v>
      </c>
      <c r="G13" s="44">
        <f>IFERROR(IF(IF(I13="Base",(D13-C13)+(F13-E13)-1,(D13-C13)+(F13-E13))&gt;16,16,IF(I13="Base",(D13-C13)+(F13-E13)-1,(D13-C13)+(F13-E13))),0)</f>
        <v>8</v>
      </c>
      <c r="H13" s="45"/>
      <c r="I13" s="45" t="s">
        <v>21</v>
      </c>
      <c r="J13" s="45"/>
      <c r="K13" s="45"/>
      <c r="L13" s="45" t="s">
        <v>22</v>
      </c>
      <c r="M13" s="46"/>
      <c r="N13" s="47" t="s">
        <v>21</v>
      </c>
    </row>
    <row r="14" spans="1:19" ht="19.5" customHeight="1" x14ac:dyDescent="0.25">
      <c r="A14" s="3" t="e">
        <f>'[1]ALMEIRA LUIS'!A14</f>
        <v>#REF!</v>
      </c>
      <c r="B14" s="41">
        <f t="shared" ref="B14:B42" si="0">+B13+1</f>
        <v>46045</v>
      </c>
      <c r="C14" s="42">
        <v>8</v>
      </c>
      <c r="D14" s="43"/>
      <c r="E14" s="43"/>
      <c r="F14" s="42">
        <v>17</v>
      </c>
      <c r="G14" s="44">
        <f t="shared" ref="G14:G42" si="1">IFERROR(IF(IF(I14="Base",(D14-C14)+(F14-E14)-1,(D14-C14)+(F14-E14))&gt;16,16,IF(I14="Base",(D14-C14)+(F14-E14)-1,(D14-C14)+(F14-E14))),0)</f>
        <v>8</v>
      </c>
      <c r="H14" s="45"/>
      <c r="I14" s="45" t="s">
        <v>21</v>
      </c>
      <c r="J14" s="45"/>
      <c r="K14" s="45"/>
      <c r="L14" s="45" t="s">
        <v>22</v>
      </c>
      <c r="M14" s="46"/>
      <c r="N14" s="47" t="s">
        <v>21</v>
      </c>
    </row>
    <row r="15" spans="1:19" ht="19.5" customHeight="1" x14ac:dyDescent="0.25">
      <c r="A15" s="3" t="e">
        <f>'[1]ALMEIRA LUIS'!A15</f>
        <v>#REF!</v>
      </c>
      <c r="B15" s="41">
        <f t="shared" si="0"/>
        <v>46046</v>
      </c>
      <c r="C15" s="42">
        <v>7</v>
      </c>
      <c r="D15" s="43"/>
      <c r="E15" s="43"/>
      <c r="F15" s="42">
        <v>20</v>
      </c>
      <c r="G15" s="44">
        <f t="shared" si="1"/>
        <v>13</v>
      </c>
      <c r="H15" s="45"/>
      <c r="I15" s="45" t="s">
        <v>1</v>
      </c>
      <c r="J15" s="45"/>
      <c r="K15" s="45" t="s">
        <v>22</v>
      </c>
      <c r="L15" s="45"/>
      <c r="M15" s="46" t="s">
        <v>22</v>
      </c>
      <c r="N15" s="47" t="s">
        <v>23</v>
      </c>
    </row>
    <row r="16" spans="1:19" ht="19.5" customHeight="1" x14ac:dyDescent="0.25">
      <c r="A16" s="3" t="e">
        <f>'[1]ALMEIRA LUIS'!A16</f>
        <v>#REF!</v>
      </c>
      <c r="B16" s="41">
        <f t="shared" si="0"/>
        <v>46047</v>
      </c>
      <c r="C16" s="42">
        <v>8</v>
      </c>
      <c r="D16" s="43"/>
      <c r="E16" s="43"/>
      <c r="F16" s="42">
        <v>22</v>
      </c>
      <c r="G16" s="44">
        <f t="shared" si="1"/>
        <v>14</v>
      </c>
      <c r="H16" s="45"/>
      <c r="I16" s="45" t="s">
        <v>1</v>
      </c>
      <c r="J16" s="45"/>
      <c r="K16" s="45"/>
      <c r="L16" s="45" t="s">
        <v>22</v>
      </c>
      <c r="M16" s="46" t="s">
        <v>22</v>
      </c>
      <c r="N16" s="47" t="s">
        <v>23</v>
      </c>
    </row>
    <row r="17" spans="1:14" ht="19.5" customHeight="1" x14ac:dyDescent="0.25">
      <c r="A17" s="3" t="e">
        <f>'[1]ALMEIRA LUIS'!A17</f>
        <v>#REF!</v>
      </c>
      <c r="B17" s="41">
        <f t="shared" si="0"/>
        <v>46048</v>
      </c>
      <c r="C17" s="42">
        <v>8</v>
      </c>
      <c r="D17" s="43"/>
      <c r="E17" s="43"/>
      <c r="F17" s="42">
        <v>17</v>
      </c>
      <c r="G17" s="44">
        <f t="shared" si="1"/>
        <v>8</v>
      </c>
      <c r="H17" s="45"/>
      <c r="I17" s="45" t="s">
        <v>21</v>
      </c>
      <c r="J17" s="45"/>
      <c r="K17" s="45"/>
      <c r="L17" s="45" t="s">
        <v>22</v>
      </c>
      <c r="M17" s="46"/>
      <c r="N17" s="47" t="s">
        <v>21</v>
      </c>
    </row>
    <row r="18" spans="1:14" ht="19.5" customHeight="1" x14ac:dyDescent="0.25">
      <c r="A18" s="3" t="e">
        <f>'[1]ALMEIRA LUIS'!A18</f>
        <v>#REF!</v>
      </c>
      <c r="B18" s="41">
        <f t="shared" si="0"/>
        <v>46049</v>
      </c>
      <c r="C18" s="42">
        <v>8</v>
      </c>
      <c r="D18" s="43"/>
      <c r="E18" s="43"/>
      <c r="F18" s="42">
        <v>17</v>
      </c>
      <c r="G18" s="44">
        <f t="shared" si="1"/>
        <v>8</v>
      </c>
      <c r="H18" s="45"/>
      <c r="I18" s="45" t="s">
        <v>21</v>
      </c>
      <c r="J18" s="45"/>
      <c r="K18" s="45"/>
      <c r="L18" s="45" t="s">
        <v>22</v>
      </c>
      <c r="M18" s="46"/>
      <c r="N18" s="47" t="s">
        <v>21</v>
      </c>
    </row>
    <row r="19" spans="1:14" ht="19.5" customHeight="1" x14ac:dyDescent="0.25">
      <c r="A19" s="3" t="e">
        <f>'[1]ALMEIRA LUIS'!A19</f>
        <v>#REF!</v>
      </c>
      <c r="B19" s="41">
        <f t="shared" si="0"/>
        <v>46050</v>
      </c>
      <c r="C19" s="42">
        <v>8</v>
      </c>
      <c r="D19" s="43"/>
      <c r="E19" s="43"/>
      <c r="F19" s="42">
        <v>18</v>
      </c>
      <c r="G19" s="44">
        <f t="shared" si="1"/>
        <v>9</v>
      </c>
      <c r="H19" s="45"/>
      <c r="I19" s="45" t="s">
        <v>21</v>
      </c>
      <c r="J19" s="45"/>
      <c r="K19" s="45"/>
      <c r="L19" s="45" t="s">
        <v>22</v>
      </c>
      <c r="M19" s="46"/>
      <c r="N19" s="47" t="s">
        <v>21</v>
      </c>
    </row>
    <row r="20" spans="1:14" ht="19.5" customHeight="1" x14ac:dyDescent="0.25">
      <c r="A20" s="3" t="e">
        <f>'[1]ALMEIRA LUIS'!A20</f>
        <v>#REF!</v>
      </c>
      <c r="B20" s="41">
        <f t="shared" si="0"/>
        <v>46051</v>
      </c>
      <c r="C20" s="42">
        <v>8</v>
      </c>
      <c r="D20" s="43"/>
      <c r="E20" s="43"/>
      <c r="F20" s="42">
        <v>20</v>
      </c>
      <c r="G20" s="44">
        <f t="shared" si="1"/>
        <v>12</v>
      </c>
      <c r="H20" s="45"/>
      <c r="I20" s="45" t="s">
        <v>1</v>
      </c>
      <c r="J20" s="45"/>
      <c r="K20" s="45" t="s">
        <v>22</v>
      </c>
      <c r="L20" s="45"/>
      <c r="M20" s="46" t="s">
        <v>22</v>
      </c>
      <c r="N20" s="47" t="s">
        <v>23</v>
      </c>
    </row>
    <row r="21" spans="1:14" ht="19.5" customHeight="1" x14ac:dyDescent="0.25">
      <c r="A21" s="3" t="e">
        <f>'[1]ALMEIRA LUIS'!A21</f>
        <v>#REF!</v>
      </c>
      <c r="B21" s="41">
        <f>+B20+1</f>
        <v>46052</v>
      </c>
      <c r="C21" s="42">
        <v>8</v>
      </c>
      <c r="D21" s="43"/>
      <c r="E21" s="43"/>
      <c r="F21" s="42">
        <v>20</v>
      </c>
      <c r="G21" s="44">
        <f t="shared" si="1"/>
        <v>12</v>
      </c>
      <c r="H21" s="45"/>
      <c r="I21" s="45" t="s">
        <v>1</v>
      </c>
      <c r="J21" s="45"/>
      <c r="K21" s="45" t="s">
        <v>22</v>
      </c>
      <c r="L21" s="45"/>
      <c r="M21" s="46"/>
      <c r="N21" s="47" t="s">
        <v>23</v>
      </c>
    </row>
    <row r="22" spans="1:14" ht="19.5" customHeight="1" x14ac:dyDescent="0.25">
      <c r="A22" s="3" t="str">
        <f>'[1]ALMEIRA LUIS'!A22</f>
        <v>x</v>
      </c>
      <c r="B22" s="41">
        <f t="shared" si="0"/>
        <v>46053</v>
      </c>
      <c r="C22" s="42">
        <v>8</v>
      </c>
      <c r="D22" s="43"/>
      <c r="E22" s="43"/>
      <c r="F22" s="42">
        <v>20</v>
      </c>
      <c r="G22" s="44">
        <f t="shared" si="1"/>
        <v>12</v>
      </c>
      <c r="H22" s="45"/>
      <c r="I22" s="45" t="s">
        <v>1</v>
      </c>
      <c r="J22" s="45"/>
      <c r="K22" s="45" t="s">
        <v>22</v>
      </c>
      <c r="L22" s="45"/>
      <c r="M22" s="46"/>
      <c r="N22" s="47" t="s">
        <v>24</v>
      </c>
    </row>
    <row r="23" spans="1:14" ht="19.5" customHeight="1" x14ac:dyDescent="0.25">
      <c r="A23" s="3" t="e">
        <f>'[1]ALMEIRA LUIS'!A23</f>
        <v>#REF!</v>
      </c>
      <c r="B23" s="41">
        <f t="shared" si="0"/>
        <v>46054</v>
      </c>
      <c r="C23" s="42">
        <v>8</v>
      </c>
      <c r="D23" s="43"/>
      <c r="E23" s="43"/>
      <c r="F23" s="42">
        <v>20</v>
      </c>
      <c r="G23" s="44">
        <f t="shared" si="1"/>
        <v>12</v>
      </c>
      <c r="H23" s="45"/>
      <c r="I23" s="45" t="s">
        <v>1</v>
      </c>
      <c r="J23" s="45"/>
      <c r="K23" s="45" t="s">
        <v>22</v>
      </c>
      <c r="L23" s="45"/>
      <c r="M23" s="46"/>
      <c r="N23" s="47" t="s">
        <v>24</v>
      </c>
    </row>
    <row r="24" spans="1:14" ht="19.5" customHeight="1" x14ac:dyDescent="0.25">
      <c r="A24" s="3" t="e">
        <f>'[1]ALMEIRA LUIS'!A24</f>
        <v>#REF!</v>
      </c>
      <c r="B24" s="41">
        <f t="shared" si="0"/>
        <v>46055</v>
      </c>
      <c r="C24" s="42">
        <v>8</v>
      </c>
      <c r="D24" s="43"/>
      <c r="E24" s="43"/>
      <c r="F24" s="42">
        <v>18</v>
      </c>
      <c r="G24" s="44">
        <f t="shared" si="1"/>
        <v>10</v>
      </c>
      <c r="H24" s="45"/>
      <c r="I24" s="45" t="s">
        <v>1</v>
      </c>
      <c r="J24" s="45"/>
      <c r="K24" s="45"/>
      <c r="L24" s="45" t="s">
        <v>22</v>
      </c>
      <c r="M24" s="46" t="s">
        <v>22</v>
      </c>
      <c r="N24" s="47" t="s">
        <v>24</v>
      </c>
    </row>
    <row r="25" spans="1:14" ht="19.5" customHeight="1" x14ac:dyDescent="0.25">
      <c r="A25" s="3" t="e">
        <f>'[1]ALMEIRA LUIS'!A25</f>
        <v>#REF!</v>
      </c>
      <c r="B25" s="41">
        <f t="shared" si="0"/>
        <v>46056</v>
      </c>
      <c r="C25" s="42">
        <v>8</v>
      </c>
      <c r="D25" s="43"/>
      <c r="E25" s="43"/>
      <c r="F25" s="42">
        <v>17</v>
      </c>
      <c r="G25" s="44">
        <f t="shared" si="1"/>
        <v>8</v>
      </c>
      <c r="H25" s="45"/>
      <c r="I25" s="45" t="s">
        <v>21</v>
      </c>
      <c r="J25" s="45"/>
      <c r="K25" s="45"/>
      <c r="L25" s="45" t="s">
        <v>22</v>
      </c>
      <c r="M25" s="46"/>
      <c r="N25" s="47" t="s">
        <v>21</v>
      </c>
    </row>
    <row r="26" spans="1:14" ht="19.5" customHeight="1" x14ac:dyDescent="0.25">
      <c r="A26" s="3" t="e">
        <f>'[1]ALMEIRA LUIS'!A26</f>
        <v>#REF!</v>
      </c>
      <c r="B26" s="41">
        <f t="shared" si="0"/>
        <v>46057</v>
      </c>
      <c r="C26" s="42">
        <v>8</v>
      </c>
      <c r="D26" s="43"/>
      <c r="E26" s="43"/>
      <c r="F26" s="42">
        <v>17</v>
      </c>
      <c r="G26" s="44">
        <f t="shared" si="1"/>
        <v>8</v>
      </c>
      <c r="H26" s="45"/>
      <c r="I26" s="45" t="s">
        <v>21</v>
      </c>
      <c r="J26" s="45"/>
      <c r="K26" s="45"/>
      <c r="L26" s="45" t="s">
        <v>22</v>
      </c>
      <c r="M26" s="46"/>
      <c r="N26" s="47" t="s">
        <v>21</v>
      </c>
    </row>
    <row r="27" spans="1:14" ht="19.5" customHeight="1" x14ac:dyDescent="0.25">
      <c r="A27" s="3" t="e">
        <f>'[1]ALMEIRA LUIS'!A27</f>
        <v>#REF!</v>
      </c>
      <c r="B27" s="41">
        <f t="shared" si="0"/>
        <v>46058</v>
      </c>
      <c r="C27" s="42">
        <v>8</v>
      </c>
      <c r="D27" s="43"/>
      <c r="E27" s="43"/>
      <c r="F27" s="42">
        <v>17</v>
      </c>
      <c r="G27" s="44">
        <f t="shared" si="1"/>
        <v>8</v>
      </c>
      <c r="H27" s="45"/>
      <c r="I27" s="45" t="s">
        <v>21</v>
      </c>
      <c r="J27" s="45"/>
      <c r="K27" s="45"/>
      <c r="L27" s="45" t="s">
        <v>22</v>
      </c>
      <c r="M27" s="46"/>
      <c r="N27" s="47" t="s">
        <v>21</v>
      </c>
    </row>
    <row r="28" spans="1:14" ht="19.5" customHeight="1" x14ac:dyDescent="0.25">
      <c r="A28" s="3" t="e">
        <f>'[1]ALMEIRA LUIS'!A28</f>
        <v>#REF!</v>
      </c>
      <c r="B28" s="41">
        <f t="shared" si="0"/>
        <v>46059</v>
      </c>
      <c r="C28" s="42">
        <v>9</v>
      </c>
      <c r="D28" s="43"/>
      <c r="E28" s="43"/>
      <c r="F28" s="42">
        <v>17</v>
      </c>
      <c r="G28" s="44">
        <f t="shared" si="1"/>
        <v>7</v>
      </c>
      <c r="H28" s="45"/>
      <c r="I28" s="45" t="s">
        <v>21</v>
      </c>
      <c r="J28" s="45"/>
      <c r="K28" s="45"/>
      <c r="L28" s="45" t="s">
        <v>22</v>
      </c>
      <c r="M28" s="46"/>
      <c r="N28" s="47" t="s">
        <v>21</v>
      </c>
    </row>
    <row r="29" spans="1:14" ht="19.5" customHeight="1" x14ac:dyDescent="0.25">
      <c r="A29" s="3" t="e">
        <f>'[1]ALMEIRA LUIS'!A29</f>
        <v>#REF!</v>
      </c>
      <c r="B29" s="41">
        <f t="shared" si="0"/>
        <v>46060</v>
      </c>
      <c r="C29" s="42" t="s">
        <v>25</v>
      </c>
      <c r="D29" s="43"/>
      <c r="E29" s="43"/>
      <c r="F29" s="42" t="s">
        <v>25</v>
      </c>
      <c r="G29" s="44">
        <f t="shared" si="1"/>
        <v>0</v>
      </c>
      <c r="H29" s="45" t="s">
        <v>25</v>
      </c>
      <c r="I29" s="45" t="s">
        <v>25</v>
      </c>
      <c r="J29" s="45" t="s">
        <v>25</v>
      </c>
      <c r="K29" s="45" t="s">
        <v>25</v>
      </c>
      <c r="L29" s="45" t="s">
        <v>25</v>
      </c>
      <c r="M29" s="46" t="s">
        <v>25</v>
      </c>
      <c r="N29" s="47" t="s">
        <v>26</v>
      </c>
    </row>
    <row r="30" spans="1:14" ht="19.5" customHeight="1" x14ac:dyDescent="0.25">
      <c r="A30" s="3" t="e">
        <f>'[1]ALMEIRA LUIS'!A30</f>
        <v>#REF!</v>
      </c>
      <c r="B30" s="41">
        <f t="shared" si="0"/>
        <v>46061</v>
      </c>
      <c r="C30" s="42" t="s">
        <v>25</v>
      </c>
      <c r="D30" s="43"/>
      <c r="E30" s="43"/>
      <c r="F30" s="42" t="s">
        <v>25</v>
      </c>
      <c r="G30" s="44">
        <f t="shared" si="1"/>
        <v>0</v>
      </c>
      <c r="H30" s="45" t="s">
        <v>25</v>
      </c>
      <c r="I30" s="45" t="s">
        <v>25</v>
      </c>
      <c r="J30" s="45" t="s">
        <v>25</v>
      </c>
      <c r="K30" s="45" t="s">
        <v>25</v>
      </c>
      <c r="L30" s="45" t="s">
        <v>25</v>
      </c>
      <c r="M30" s="46" t="s">
        <v>25</v>
      </c>
      <c r="N30" s="47" t="s">
        <v>26</v>
      </c>
    </row>
    <row r="31" spans="1:14" ht="19.5" customHeight="1" x14ac:dyDescent="0.25">
      <c r="A31" s="3" t="e">
        <f>'[1]ALMEIRA LUIS'!A31</f>
        <v>#REF!</v>
      </c>
      <c r="B31" s="41">
        <f t="shared" si="0"/>
        <v>46062</v>
      </c>
      <c r="C31" s="42">
        <v>8</v>
      </c>
      <c r="D31" s="43"/>
      <c r="E31" s="43"/>
      <c r="F31" s="42">
        <v>17</v>
      </c>
      <c r="G31" s="44">
        <f t="shared" si="1"/>
        <v>8</v>
      </c>
      <c r="H31" s="45"/>
      <c r="I31" s="45" t="s">
        <v>21</v>
      </c>
      <c r="J31" s="45"/>
      <c r="K31" s="45"/>
      <c r="L31" s="45" t="s">
        <v>22</v>
      </c>
      <c r="M31" s="46"/>
      <c r="N31" s="47" t="s">
        <v>21</v>
      </c>
    </row>
    <row r="32" spans="1:14" ht="19.5" customHeight="1" x14ac:dyDescent="0.25">
      <c r="A32" s="3" t="e">
        <f>'[1]ALMEIRA LUIS'!A32</f>
        <v>#REF!</v>
      </c>
      <c r="B32" s="41">
        <f t="shared" si="0"/>
        <v>46063</v>
      </c>
      <c r="C32" s="42">
        <v>8</v>
      </c>
      <c r="D32" s="43"/>
      <c r="E32" s="43"/>
      <c r="F32" s="42">
        <v>17</v>
      </c>
      <c r="G32" s="44">
        <f t="shared" si="1"/>
        <v>8</v>
      </c>
      <c r="H32" s="45"/>
      <c r="I32" s="45" t="s">
        <v>21</v>
      </c>
      <c r="J32" s="45"/>
      <c r="K32" s="45"/>
      <c r="L32" s="45" t="s">
        <v>22</v>
      </c>
      <c r="M32" s="46"/>
      <c r="N32" s="48" t="s">
        <v>21</v>
      </c>
    </row>
    <row r="33" spans="1:14" ht="19.5" customHeight="1" x14ac:dyDescent="0.25">
      <c r="A33" s="3" t="e">
        <f>'[1]ALMEIRA LUIS'!A33</f>
        <v>#REF!</v>
      </c>
      <c r="B33" s="41">
        <f t="shared" si="0"/>
        <v>46064</v>
      </c>
      <c r="C33" s="42">
        <v>8</v>
      </c>
      <c r="D33" s="43"/>
      <c r="E33" s="43"/>
      <c r="F33" s="42">
        <v>17</v>
      </c>
      <c r="G33" s="44">
        <f t="shared" si="1"/>
        <v>8</v>
      </c>
      <c r="H33" s="45"/>
      <c r="I33" s="45" t="s">
        <v>21</v>
      </c>
      <c r="J33" s="45"/>
      <c r="K33" s="45"/>
      <c r="L33" s="45" t="s">
        <v>22</v>
      </c>
      <c r="M33" s="46"/>
      <c r="N33" s="48" t="s">
        <v>21</v>
      </c>
    </row>
    <row r="34" spans="1:14" ht="19.5" customHeight="1" x14ac:dyDescent="0.25">
      <c r="A34" s="3" t="e">
        <f>'[1]ALMEIRA LUIS'!A34</f>
        <v>#REF!</v>
      </c>
      <c r="B34" s="41">
        <f t="shared" si="0"/>
        <v>46065</v>
      </c>
      <c r="C34" s="42">
        <v>8</v>
      </c>
      <c r="D34" s="43"/>
      <c r="E34" s="43"/>
      <c r="F34" s="42">
        <v>17</v>
      </c>
      <c r="G34" s="44">
        <f t="shared" si="1"/>
        <v>8</v>
      </c>
      <c r="H34" s="45"/>
      <c r="I34" s="45" t="s">
        <v>21</v>
      </c>
      <c r="J34" s="45"/>
      <c r="K34" s="45"/>
      <c r="L34" s="45" t="s">
        <v>22</v>
      </c>
      <c r="M34" s="46"/>
      <c r="N34" s="48" t="s">
        <v>21</v>
      </c>
    </row>
    <row r="35" spans="1:14" ht="19.5" customHeight="1" x14ac:dyDescent="0.25">
      <c r="A35" s="3" t="e">
        <f>'[1]ALMEIRA LUIS'!A35</f>
        <v>#REF!</v>
      </c>
      <c r="B35" s="41">
        <f t="shared" si="0"/>
        <v>46066</v>
      </c>
      <c r="C35" s="42">
        <v>8</v>
      </c>
      <c r="D35" s="43"/>
      <c r="E35" s="43"/>
      <c r="F35" s="42">
        <v>20</v>
      </c>
      <c r="G35" s="44">
        <f t="shared" si="1"/>
        <v>12</v>
      </c>
      <c r="H35" s="45"/>
      <c r="I35" s="45" t="s">
        <v>1</v>
      </c>
      <c r="J35" s="45"/>
      <c r="K35" s="45" t="s">
        <v>22</v>
      </c>
      <c r="L35" s="45"/>
      <c r="M35" s="46" t="s">
        <v>22</v>
      </c>
      <c r="N35" s="48" t="s">
        <v>24</v>
      </c>
    </row>
    <row r="36" spans="1:14" ht="19.5" customHeight="1" x14ac:dyDescent="0.25">
      <c r="A36" s="3" t="e">
        <f>'[1]ALMEIRA LUIS'!A36</f>
        <v>#REF!</v>
      </c>
      <c r="B36" s="41">
        <f t="shared" si="0"/>
        <v>46067</v>
      </c>
      <c r="C36" s="42">
        <v>8</v>
      </c>
      <c r="D36" s="43"/>
      <c r="E36" s="43"/>
      <c r="F36" s="42">
        <v>20</v>
      </c>
      <c r="G36" s="44">
        <f t="shared" si="1"/>
        <v>12</v>
      </c>
      <c r="H36" s="45"/>
      <c r="I36" s="45" t="s">
        <v>1</v>
      </c>
      <c r="J36" s="45"/>
      <c r="K36" s="45" t="s">
        <v>22</v>
      </c>
      <c r="L36" s="45"/>
      <c r="M36" s="46"/>
      <c r="N36" s="48" t="s">
        <v>24</v>
      </c>
    </row>
    <row r="37" spans="1:14" ht="19.5" customHeight="1" x14ac:dyDescent="0.25">
      <c r="A37" s="3" t="e">
        <f>'[1]ALMEIRA LUIS'!A37</f>
        <v>#REF!</v>
      </c>
      <c r="B37" s="41">
        <f t="shared" si="0"/>
        <v>46068</v>
      </c>
      <c r="C37" s="42">
        <v>8</v>
      </c>
      <c r="D37" s="43"/>
      <c r="E37" s="43"/>
      <c r="F37" s="42">
        <v>20</v>
      </c>
      <c r="G37" s="44">
        <f t="shared" si="1"/>
        <v>12</v>
      </c>
      <c r="H37" s="45"/>
      <c r="I37" s="45" t="s">
        <v>1</v>
      </c>
      <c r="J37" s="45"/>
      <c r="K37" s="45" t="s">
        <v>22</v>
      </c>
      <c r="L37" s="45"/>
      <c r="M37" s="46"/>
      <c r="N37" s="48" t="s">
        <v>24</v>
      </c>
    </row>
    <row r="38" spans="1:14" ht="19.5" customHeight="1" x14ac:dyDescent="0.25">
      <c r="A38" s="3" t="e">
        <f>'[1]ALMEIRA LUIS'!A38</f>
        <v>#REF!</v>
      </c>
      <c r="B38" s="41">
        <f t="shared" si="0"/>
        <v>46069</v>
      </c>
      <c r="C38" s="42">
        <v>8</v>
      </c>
      <c r="D38" s="43"/>
      <c r="E38" s="43"/>
      <c r="F38" s="42">
        <v>20</v>
      </c>
      <c r="G38" s="44">
        <f t="shared" si="1"/>
        <v>12</v>
      </c>
      <c r="H38" s="45"/>
      <c r="I38" s="45" t="s">
        <v>1</v>
      </c>
      <c r="J38" s="45"/>
      <c r="K38" s="45" t="s">
        <v>22</v>
      </c>
      <c r="L38" s="45"/>
      <c r="M38" s="46"/>
      <c r="N38" s="48" t="s">
        <v>24</v>
      </c>
    </row>
    <row r="39" spans="1:14" ht="19.5" customHeight="1" x14ac:dyDescent="0.25">
      <c r="A39" s="3" t="e">
        <f>'[1]ALMEIRA LUIS'!A39</f>
        <v>#REF!</v>
      </c>
      <c r="B39" s="41">
        <f t="shared" si="0"/>
        <v>46070</v>
      </c>
      <c r="C39" s="42">
        <v>8</v>
      </c>
      <c r="D39" s="43"/>
      <c r="E39" s="43"/>
      <c r="F39" s="42">
        <v>18</v>
      </c>
      <c r="G39" s="44">
        <f t="shared" si="1"/>
        <v>10</v>
      </c>
      <c r="H39" s="45"/>
      <c r="I39" s="45" t="s">
        <v>1</v>
      </c>
      <c r="J39" s="45"/>
      <c r="K39" s="45"/>
      <c r="L39" s="45" t="s">
        <v>22</v>
      </c>
      <c r="M39" s="46" t="s">
        <v>22</v>
      </c>
      <c r="N39" s="48" t="s">
        <v>24</v>
      </c>
    </row>
    <row r="40" spans="1:14" ht="19.5" customHeight="1" x14ac:dyDescent="0.25">
      <c r="A40" s="3" t="e">
        <f>'[1]ALMEIRA LUIS'!A40</f>
        <v>#REF!</v>
      </c>
      <c r="B40" s="41">
        <f t="shared" si="0"/>
        <v>46071</v>
      </c>
      <c r="C40" s="42">
        <v>8</v>
      </c>
      <c r="D40" s="43"/>
      <c r="E40" s="43"/>
      <c r="F40" s="42">
        <v>17</v>
      </c>
      <c r="G40" s="44">
        <f t="shared" si="1"/>
        <v>8</v>
      </c>
      <c r="H40" s="45"/>
      <c r="I40" s="45" t="s">
        <v>21</v>
      </c>
      <c r="J40" s="45"/>
      <c r="K40" s="45"/>
      <c r="L40" s="45" t="s">
        <v>22</v>
      </c>
      <c r="M40" s="46"/>
      <c r="N40" s="48" t="s">
        <v>27</v>
      </c>
    </row>
    <row r="41" spans="1:14" ht="19.5" customHeight="1" x14ac:dyDescent="0.25">
      <c r="A41" s="3" t="e">
        <f>'[1]ALMEIRA LUIS'!A41</f>
        <v>#REF!</v>
      </c>
      <c r="B41" s="41">
        <f t="shared" si="0"/>
        <v>46072</v>
      </c>
      <c r="C41" s="42">
        <v>8</v>
      </c>
      <c r="D41" s="43"/>
      <c r="E41" s="43"/>
      <c r="F41" s="42">
        <v>17</v>
      </c>
      <c r="G41" s="44">
        <f t="shared" si="1"/>
        <v>8</v>
      </c>
      <c r="H41" s="45"/>
      <c r="I41" s="45" t="s">
        <v>21</v>
      </c>
      <c r="J41" s="45"/>
      <c r="K41" s="45"/>
      <c r="L41" s="45" t="s">
        <v>22</v>
      </c>
      <c r="M41" s="46"/>
      <c r="N41" s="48" t="s">
        <v>27</v>
      </c>
    </row>
    <row r="42" spans="1:14" ht="19.5" customHeight="1" thickBot="1" x14ac:dyDescent="0.3">
      <c r="A42" s="3" t="e">
        <f>'[1]ALMEIRA LUIS'!A42</f>
        <v>#REF!</v>
      </c>
      <c r="B42" s="49">
        <f t="shared" si="0"/>
        <v>46073</v>
      </c>
      <c r="C42" s="50">
        <v>8</v>
      </c>
      <c r="D42" s="51"/>
      <c r="E42" s="51"/>
      <c r="F42" s="50">
        <v>23</v>
      </c>
      <c r="G42" s="52">
        <f t="shared" si="1"/>
        <v>15</v>
      </c>
      <c r="H42" s="53"/>
      <c r="I42" s="53" t="s">
        <v>1</v>
      </c>
      <c r="J42" s="53"/>
      <c r="K42" s="53"/>
      <c r="L42" s="53" t="s">
        <v>22</v>
      </c>
      <c r="M42" s="54" t="s">
        <v>22</v>
      </c>
      <c r="N42" s="55" t="s">
        <v>24</v>
      </c>
    </row>
    <row r="43" spans="1:14" ht="19.5" customHeight="1" x14ac:dyDescent="0.25">
      <c r="B43" s="56"/>
      <c r="C43" s="57"/>
      <c r="D43" s="58"/>
      <c r="E43" s="58"/>
      <c r="F43" s="59"/>
      <c r="G43" s="60"/>
      <c r="H43" s="60"/>
      <c r="I43" s="60"/>
      <c r="J43" s="60"/>
      <c r="K43" s="60"/>
      <c r="L43" s="60"/>
      <c r="M43" s="60"/>
      <c r="N43" s="60"/>
    </row>
    <row r="44" spans="1:14" ht="19.5" customHeight="1" x14ac:dyDescent="0.25">
      <c r="B44" s="56"/>
      <c r="C44" s="57"/>
      <c r="D44" s="58"/>
      <c r="E44" s="58"/>
      <c r="F44" s="59"/>
      <c r="G44" s="60"/>
      <c r="H44" s="60"/>
      <c r="I44" s="60"/>
      <c r="J44" s="60"/>
      <c r="K44" s="60"/>
      <c r="L44" s="60"/>
      <c r="M44" s="60"/>
      <c r="N44" s="60"/>
    </row>
    <row r="45" spans="1:14" ht="15" customHeight="1" x14ac:dyDescent="0.3"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</row>
    <row r="46" spans="1:14" ht="15" customHeight="1" x14ac:dyDescent="0.3">
      <c r="C46" s="62" t="s">
        <v>28</v>
      </c>
      <c r="D46" s="63"/>
      <c r="E46" s="63"/>
      <c r="F46" s="1" t="s">
        <v>29</v>
      </c>
      <c r="I46" s="62" t="s">
        <v>30</v>
      </c>
      <c r="J46" s="63"/>
      <c r="K46" s="63"/>
    </row>
    <row r="47" spans="1:14" ht="15" customHeight="1" x14ac:dyDescent="0.25">
      <c r="L47" s="12"/>
      <c r="M47" s="12"/>
    </row>
    <row r="48" spans="1:14" ht="15" customHeight="1" x14ac:dyDescent="0.25">
      <c r="K48" s="12"/>
    </row>
    <row r="49" spans="3:11" ht="15" customHeight="1" x14ac:dyDescent="0.25">
      <c r="K49" s="12"/>
    </row>
    <row r="50" spans="3:11" ht="15" customHeight="1" x14ac:dyDescent="0.25">
      <c r="K50" s="12"/>
    </row>
    <row r="51" spans="3:11" ht="15" customHeight="1" x14ac:dyDescent="0.25">
      <c r="K51" s="12"/>
    </row>
    <row r="52" spans="3:11" ht="15" customHeight="1" x14ac:dyDescent="0.25">
      <c r="K52" s="12"/>
    </row>
    <row r="55" spans="3:11" ht="15" customHeight="1" x14ac:dyDescent="0.25">
      <c r="C55" s="64"/>
      <c r="D55" s="64"/>
    </row>
    <row r="56" spans="3:11" ht="15" customHeight="1" x14ac:dyDescent="0.25">
      <c r="D56" s="64"/>
    </row>
    <row r="57" spans="3:11" ht="15" customHeight="1" x14ac:dyDescent="0.25">
      <c r="D57" s="64"/>
    </row>
    <row r="58" spans="3:11" ht="15" customHeight="1" x14ac:dyDescent="0.25">
      <c r="D58" s="64"/>
    </row>
  </sheetData>
  <mergeCells count="15">
    <mergeCell ref="C46:E46"/>
    <mergeCell ref="I46:K46"/>
    <mergeCell ref="G9:G11"/>
    <mergeCell ref="I9:I11"/>
    <mergeCell ref="J9:L9"/>
    <mergeCell ref="M9:M11"/>
    <mergeCell ref="N9:N11"/>
    <mergeCell ref="J10:K10"/>
    <mergeCell ref="L10:L11"/>
    <mergeCell ref="C5:F5"/>
    <mergeCell ref="B9:B11"/>
    <mergeCell ref="C9:C11"/>
    <mergeCell ref="D9:D11"/>
    <mergeCell ref="E9:E11"/>
    <mergeCell ref="F9:F11"/>
  </mergeCells>
  <conditionalFormatting sqref="B12:B42">
    <cfRule type="expression" dxfId="1" priority="1">
      <formula>A12="x"</formula>
    </cfRule>
    <cfRule type="expression" dxfId="0" priority="2">
      <formula>OR(WEEKDAY(B12)=1,WEEKDAY(B12)=7)</formula>
    </cfRule>
  </conditionalFormatting>
  <dataValidations count="1">
    <dataValidation type="list" allowBlank="1" showInputMessage="1" showErrorMessage="1" sqref="I12:I42" xr:uid="{AC15D567-7FE0-4962-B051-D8AD43A07C38}">
      <formula1>Lugar_de_Trabajo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Vazquez</dc:creator>
  <cp:lastModifiedBy>Nicolas Vazquez</cp:lastModifiedBy>
  <dcterms:created xsi:type="dcterms:W3CDTF">2026-03-06T21:01:22Z</dcterms:created>
  <dcterms:modified xsi:type="dcterms:W3CDTF">2026-03-06T21:03:35Z</dcterms:modified>
</cp:coreProperties>
</file>